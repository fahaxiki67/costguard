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第1期" sheetId="1" state="visible" r:id="rId1"/>
    <sheet xmlns:r="http://schemas.openxmlformats.org/officeDocument/2006/relationships" name="第2期" sheetId="2" state="visible" r:id="rId2"/>
    <sheet xmlns:r="http://schemas.openxmlformats.org/officeDocument/2006/relationships" name="第3期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DE6F0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26" customWidth="1" min="3" max="3"/>
    <col width="9" customWidth="1" min="4" max="4"/>
    <col width="12" customWidth="1" min="5" max="5"/>
    <col width="12" customWidth="1" min="6" max="6"/>
    <col width="14" customWidth="1" min="7" max="7"/>
    <col width="8" customWidth="1" min="8" max="8"/>
  </cols>
  <sheetData>
    <row r="1">
      <c r="A1" s="1" t="inlineStr">
        <is>
          <t>示例花园小区二期工程（合成演示数据）</t>
        </is>
      </c>
    </row>
    <row r="2">
      <c r="A2" t="inlineStr">
        <is>
          <t>编制单位：合成演示数据生成器（非真实单位）</t>
        </is>
      </c>
    </row>
    <row r="3">
      <c r="A3" t="inlineStr">
        <is>
          <t>对上结算 第1期（合成演示）</t>
        </is>
      </c>
    </row>
    <row r="4">
      <c r="A4" s="2" t="inlineStr">
        <is>
          <t>清单编码</t>
        </is>
      </c>
      <c r="B4" s="2" t="inlineStr">
        <is>
          <t>清单名称</t>
        </is>
      </c>
      <c r="C4" s="2" t="inlineStr">
        <is>
          <t>项目特征</t>
        </is>
      </c>
      <c r="D4" s="2" t="inlineStr">
        <is>
          <t>计量单位</t>
        </is>
      </c>
      <c r="E4" s="2" t="inlineStr">
        <is>
          <t>工程量</t>
        </is>
      </c>
      <c r="F4" s="2" t="inlineStr">
        <is>
          <t>综合单价</t>
        </is>
      </c>
      <c r="G4" s="2" t="inlineStr">
        <is>
          <t>合价</t>
        </is>
      </c>
      <c r="H4" s="2" t="inlineStr">
        <is>
          <t>税率</t>
        </is>
      </c>
    </row>
    <row r="5">
      <c r="A5" s="3" t="inlineStr">
        <is>
          <t>010101001001</t>
        </is>
      </c>
      <c r="B5" s="3" t="inlineStr">
        <is>
          <t>平整场地</t>
        </is>
      </c>
      <c r="C5" s="3" t="inlineStr">
        <is>
          <t>三类土，人工配合</t>
        </is>
      </c>
      <c r="D5" s="3" t="inlineStr">
        <is>
          <t>m2</t>
        </is>
      </c>
      <c r="E5" s="4" t="n">
        <v>1250.5</v>
      </c>
      <c r="F5" s="4" t="n">
        <v>8.5</v>
      </c>
      <c r="G5" s="4" t="n">
        <v>10629.25</v>
      </c>
      <c r="H5" s="4" t="inlineStr">
        <is>
          <t>9%</t>
        </is>
      </c>
    </row>
    <row r="6">
      <c r="A6" s="3" t="inlineStr">
        <is>
          <t>010101003001</t>
        </is>
      </c>
      <c r="B6" s="3" t="inlineStr">
        <is>
          <t>挖沟槽土方</t>
        </is>
      </c>
      <c r="C6" s="3" t="inlineStr">
        <is>
          <t>深度2m以内，三类土</t>
        </is>
      </c>
      <c r="D6" s="3" t="inlineStr">
        <is>
          <t>m3</t>
        </is>
      </c>
      <c r="E6" s="4" t="n">
        <v>860</v>
      </c>
      <c r="F6" s="4" t="n">
        <v>35.2</v>
      </c>
      <c r="G6" s="4" t="n">
        <v>30272</v>
      </c>
      <c r="H6" s="4" t="inlineStr">
        <is>
          <t>9%</t>
        </is>
      </c>
    </row>
    <row r="7">
      <c r="A7" s="3" t="inlineStr">
        <is>
          <t>010401001001</t>
        </is>
      </c>
      <c r="B7" s="3" t="inlineStr">
        <is>
          <t>砖基础</t>
        </is>
      </c>
      <c r="C7" s="3" t="inlineStr">
        <is>
          <t>MU10机制砖，M7.5水泥砂浆</t>
        </is>
      </c>
      <c r="D7" s="3" t="inlineStr">
        <is>
          <t>m3</t>
        </is>
      </c>
      <c r="E7" s="4" t="n">
        <v>152.3</v>
      </c>
      <c r="F7" s="4" t="n">
        <v>420</v>
      </c>
      <c r="G7" s="4" t="n">
        <v>63966</v>
      </c>
      <c r="H7" s="4" t="inlineStr">
        <is>
          <t>9%</t>
        </is>
      </c>
    </row>
    <row r="8">
      <c r="A8" s="3" t="inlineStr">
        <is>
          <t>010501001001</t>
        </is>
      </c>
      <c r="B8" s="3" t="inlineStr">
        <is>
          <t>C25混凝土垫层</t>
        </is>
      </c>
      <c r="C8" s="3" t="inlineStr">
        <is>
          <t>商品混凝土C25，泵送</t>
        </is>
      </c>
      <c r="D8" s="3" t="inlineStr">
        <is>
          <t>m3</t>
        </is>
      </c>
      <c r="E8" s="4" t="n">
        <v>48.2</v>
      </c>
      <c r="F8" s="4" t="n">
        <v>465</v>
      </c>
      <c r="G8" s="4" t="n">
        <v>22413</v>
      </c>
      <c r="H8" s="4" t="inlineStr">
        <is>
          <t>9%</t>
        </is>
      </c>
    </row>
    <row r="9">
      <c r="A9" s="3" t="inlineStr">
        <is>
          <t>010515001001</t>
        </is>
      </c>
      <c r="B9" s="3" t="inlineStr">
        <is>
          <t>现浇构件钢筋</t>
        </is>
      </c>
      <c r="C9" s="3" t="inlineStr">
        <is>
          <t>HRB400，直径10mm以内</t>
        </is>
      </c>
      <c r="D9" s="3" t="inlineStr">
        <is>
          <t>t</t>
        </is>
      </c>
      <c r="E9" s="4" t="n">
        <v>25.8</v>
      </c>
      <c r="F9" s="4" t="n">
        <v>4850</v>
      </c>
      <c r="G9" s="4" t="n">
        <v>125130</v>
      </c>
      <c r="H9" s="4" t="inlineStr">
        <is>
          <t>13%</t>
        </is>
      </c>
    </row>
    <row r="10">
      <c r="A10" s="3" t="inlineStr">
        <is>
          <t>011001001001</t>
        </is>
      </c>
      <c r="B10" s="3" t="inlineStr">
        <is>
          <t>水泥砂浆楼地面</t>
        </is>
      </c>
      <c r="C10" s="3" t="inlineStr">
        <is>
          <t>1:3水泥砂浆，20mm厚</t>
        </is>
      </c>
      <c r="D10" s="3" t="inlineStr">
        <is>
          <t>m2</t>
        </is>
      </c>
      <c r="E10" s="4" t="inlineStr">
        <is>
          <t>680.00</t>
        </is>
      </c>
      <c r="F10" s="4" t="n">
        <v>45.8</v>
      </c>
      <c r="G10" s="4" t="n">
        <v>31144</v>
      </c>
      <c r="H10" s="4" t="inlineStr">
        <is>
          <t>9%</t>
        </is>
      </c>
    </row>
    <row r="11">
      <c r="A11" s="3" t="inlineStr">
        <is>
          <t>010416001001</t>
        </is>
      </c>
      <c r="B11" s="3" t="inlineStr">
        <is>
          <t>钢筋接头电渣压力焊</t>
        </is>
      </c>
      <c r="C11" s="3" t="inlineStr">
        <is>
          <t>直径14mm以内</t>
        </is>
      </c>
      <c r="D11" s="3" t="inlineStr">
        <is>
          <t>个</t>
        </is>
      </c>
      <c r="E11" s="4" t="n">
        <v>0</v>
      </c>
      <c r="F11" s="4" t="n">
        <v>3.5</v>
      </c>
      <c r="G11" s="4" t="n">
        <v>0</v>
      </c>
      <c r="H11" s="4" t="inlineStr">
        <is>
          <t>9%</t>
        </is>
      </c>
    </row>
    <row r="12">
      <c r="A12" s="3" t="inlineStr">
        <is>
          <t>010901001001</t>
        </is>
      </c>
      <c r="B12" s="3" t="inlineStr">
        <is>
          <t>屋面SBS防水卷材</t>
        </is>
      </c>
      <c r="C12" s="3" t="inlineStr">
        <is>
          <t>4mm厚，热熔施工</t>
        </is>
      </c>
      <c r="D12" s="3" t="inlineStr">
        <is>
          <t>m2</t>
        </is>
      </c>
      <c r="E12" s="4" t="n">
        <v>320</v>
      </c>
      <c r="F12" s="4" t="n"/>
      <c r="G12" s="4" t="n"/>
      <c r="H12" s="4" t="inlineStr">
        <is>
          <t>9%</t>
        </is>
      </c>
    </row>
    <row r="13">
      <c r="A13" s="3" t="inlineStr">
        <is>
          <t>011702002001</t>
        </is>
      </c>
      <c r="B13" s="3" t="inlineStr">
        <is>
          <t>脚手架搭拆费</t>
        </is>
      </c>
      <c r="C13" s="3" t="inlineStr">
        <is>
          <t>钢管双排脚手架，冲减</t>
        </is>
      </c>
      <c r="D13" s="3" t="inlineStr">
        <is>
          <t>m2</t>
        </is>
      </c>
      <c r="E13" s="4" t="n">
        <v>-150</v>
      </c>
      <c r="F13" s="4" t="n">
        <v>12</v>
      </c>
      <c r="G13" s="4" t="n">
        <v>-1800</v>
      </c>
      <c r="H13" s="4" t="inlineStr">
        <is>
          <t>9%</t>
        </is>
      </c>
    </row>
    <row r="14">
      <c r="A14" s="3" t="inlineStr">
        <is>
          <t>010402001001</t>
        </is>
      </c>
      <c r="B14" s="3" t="inlineStr">
        <is>
          <t>蒸压加气混凝土砌块墙</t>
        </is>
      </c>
      <c r="C14" s="3" t="inlineStr">
        <is>
          <t>B06级，专用砂浆</t>
        </is>
      </c>
      <c r="D14" s="3" t="inlineStr">
        <is>
          <t>m3</t>
        </is>
      </c>
      <c r="E14" s="4" t="n">
        <v>96.40000000000001</v>
      </c>
      <c r="F14" s="4" t="n">
        <v>320</v>
      </c>
      <c r="G14" s="4" t="n">
        <v>31848</v>
      </c>
      <c r="H14" s="4" t="inlineStr">
        <is>
          <t>9%</t>
        </is>
      </c>
    </row>
    <row r="15">
      <c r="A15" s="3" t="inlineStr">
        <is>
          <t>010503001001</t>
        </is>
      </c>
      <c r="B15" s="3" t="inlineStr">
        <is>
          <t>现浇混凝土构造柱</t>
        </is>
      </c>
      <c r="C15" s="3" t="inlineStr">
        <is>
          <t>C25，截面240x240</t>
        </is>
      </c>
      <c r="D15" s="3" t="inlineStr">
        <is>
          <t>m3</t>
        </is>
      </c>
      <c r="E15" s="4" t="n">
        <v>36.8</v>
      </c>
      <c r="F15" s="4" t="n">
        <v>520</v>
      </c>
      <c r="G15" s="4" t="n">
        <v>19136.01</v>
      </c>
      <c r="H15" s="4" t="inlineStr">
        <is>
          <t>9%</t>
        </is>
      </c>
    </row>
    <row r="16">
      <c r="A16" s="3" t="inlineStr">
        <is>
          <t>010515002001</t>
        </is>
      </c>
      <c r="B16" s="3" t="inlineStr">
        <is>
          <t>预埋铁件</t>
        </is>
      </c>
      <c r="C16" s="3" t="inlineStr">
        <is>
          <t>综合铁件</t>
        </is>
      </c>
      <c r="D16" s="3" t="inlineStr">
        <is>
          <t>kg</t>
        </is>
      </c>
      <c r="E16" s="4" t="n">
        <v>200</v>
      </c>
      <c r="F16" s="4" t="n">
        <v>6.8</v>
      </c>
      <c r="G16" s="4">
        <f>E14*F14</f>
        <v/>
      </c>
      <c r="H16" s="4" t="inlineStr">
        <is>
          <t>9%</t>
        </is>
      </c>
    </row>
    <row r="17">
      <c r="A17" s="3" t="inlineStr">
        <is>
          <t>011703001001</t>
        </is>
      </c>
      <c r="B17" s="3" t="inlineStr">
        <is>
          <t>安全文明施工费</t>
        </is>
      </c>
      <c r="C17" s="3" t="inlineStr">
        <is>
          <t>费率计取</t>
        </is>
      </c>
      <c r="D17" s="3" t="inlineStr">
        <is>
          <t>项</t>
        </is>
      </c>
      <c r="E17" s="4" t="n">
        <v>1</v>
      </c>
      <c r="F17" s="4" t="n">
        <v>25000</v>
      </c>
      <c r="G17" s="4">
        <f>E15*F15+</f>
        <v/>
      </c>
      <c r="H17" s="4" t="inlineStr">
        <is>
          <t>9%</t>
        </is>
      </c>
    </row>
    <row r="18">
      <c r="A18" s="3" t="n"/>
      <c r="B18" s="3" t="inlineStr">
        <is>
          <t>小计</t>
        </is>
      </c>
      <c r="C18" s="3" t="n"/>
      <c r="D18" s="3" t="n"/>
      <c r="E18" s="4" t="n"/>
      <c r="F18" s="4" t="n"/>
      <c r="G18" s="4" t="n">
        <v>332738.26</v>
      </c>
      <c r="H18" s="4" t="n"/>
    </row>
    <row r="19">
      <c r="A19" s="3" t="n"/>
      <c r="B19" s="3" t="inlineStr">
        <is>
          <t>合计</t>
        </is>
      </c>
      <c r="C19" s="3" t="n"/>
      <c r="D19" s="3" t="n"/>
      <c r="E19" s="4" t="n"/>
      <c r="F19" s="4" t="n"/>
      <c r="G19" s="4" t="n">
        <v>332738.26</v>
      </c>
      <c r="H19" s="4" t="n"/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26" customWidth="1" min="3" max="3"/>
    <col width="9" customWidth="1" min="4" max="4"/>
    <col width="12" customWidth="1" min="5" max="5"/>
    <col width="12" customWidth="1" min="6" max="6"/>
    <col width="14" customWidth="1" min="7" max="7"/>
    <col width="8" customWidth="1" min="8" max="8"/>
  </cols>
  <sheetData>
    <row r="1">
      <c r="A1" s="2" t="inlineStr">
        <is>
          <t>清单编码</t>
        </is>
      </c>
      <c r="B1" s="2" t="inlineStr">
        <is>
          <t>清单名称</t>
        </is>
      </c>
      <c r="C1" s="2" t="inlineStr">
        <is>
          <t>项目特征</t>
        </is>
      </c>
      <c r="D1" s="2" t="inlineStr">
        <is>
          <t>计量单位</t>
        </is>
      </c>
      <c r="E1" s="2" t="inlineStr">
        <is>
          <t>工程量</t>
        </is>
      </c>
      <c r="F1" s="2" t="inlineStr">
        <is>
          <t>综合单价</t>
        </is>
      </c>
      <c r="G1" s="2" t="inlineStr">
        <is>
          <t>合价</t>
        </is>
      </c>
      <c r="H1" s="2" t="inlineStr">
        <is>
          <t>税率</t>
        </is>
      </c>
    </row>
    <row r="2">
      <c r="A2" s="3" t="inlineStr">
        <is>
          <t>010101001001</t>
        </is>
      </c>
      <c r="B2" s="3" t="inlineStr">
        <is>
          <t>平整场地</t>
        </is>
      </c>
      <c r="C2" s="3" t="inlineStr">
        <is>
          <t>三类土</t>
        </is>
      </c>
      <c r="D2" s="3" t="inlineStr">
        <is>
          <t>m2</t>
        </is>
      </c>
      <c r="E2" s="4" t="n">
        <v>400</v>
      </c>
      <c r="F2" s="4" t="n">
        <v>8.5</v>
      </c>
      <c r="G2" s="4" t="n">
        <v>3400</v>
      </c>
      <c r="H2" s="4" t="inlineStr">
        <is>
          <t>9%</t>
        </is>
      </c>
    </row>
    <row r="3">
      <c r="A3" s="3" t="inlineStr">
        <is>
          <t>010101003001</t>
        </is>
      </c>
      <c r="B3" s="3" t="inlineStr">
        <is>
          <t>挖沟槽土方（机械）</t>
        </is>
      </c>
      <c r="C3" s="3" t="inlineStr">
        <is>
          <t>深度2m以内</t>
        </is>
      </c>
      <c r="D3" s="3" t="inlineStr">
        <is>
          <t>m3</t>
        </is>
      </c>
      <c r="E3" s="4" t="n">
        <v>300</v>
      </c>
      <c r="F3" s="4" t="n">
        <v>46</v>
      </c>
      <c r="G3" s="4" t="n">
        <v>13800</v>
      </c>
      <c r="H3" s="4" t="inlineStr">
        <is>
          <t>9%</t>
        </is>
      </c>
    </row>
    <row r="4">
      <c r="A4" s="3" t="inlineStr">
        <is>
          <t>010401001001</t>
        </is>
      </c>
      <c r="B4" s="3" t="inlineStr">
        <is>
          <t>砖基础</t>
        </is>
      </c>
      <c r="C4" s="3" t="inlineStr">
        <is>
          <t>MU10机制砖，M7.5水泥砂浆</t>
        </is>
      </c>
      <c r="D4" s="3" t="inlineStr">
        <is>
          <t>m3</t>
        </is>
      </c>
      <c r="E4" s="4" t="n">
        <v>60</v>
      </c>
      <c r="F4" s="4" t="n">
        <v>425</v>
      </c>
      <c r="G4" s="4" t="n">
        <v>25500</v>
      </c>
      <c r="H4" s="4" t="inlineStr">
        <is>
          <t>13%</t>
        </is>
      </c>
    </row>
    <row r="5">
      <c r="A5" s="3" t="inlineStr">
        <is>
          <t>010501001001</t>
        </is>
      </c>
      <c r="B5" s="3" t="inlineStr">
        <is>
          <t>C25混凝土垫层</t>
        </is>
      </c>
      <c r="C5" s="3" t="inlineStr">
        <is>
          <t>商品混凝土C25，泵送</t>
        </is>
      </c>
      <c r="D5" s="3" t="inlineStr">
        <is>
          <t>m2</t>
        </is>
      </c>
      <c r="E5" s="4" t="n">
        <v>120</v>
      </c>
      <c r="F5" s="4" t="n">
        <v>78</v>
      </c>
      <c r="G5" s="4" t="n">
        <v>9360</v>
      </c>
      <c r="H5" s="4" t="inlineStr">
        <is>
          <t>9%</t>
        </is>
      </c>
    </row>
    <row r="6">
      <c r="A6" s="3" t="inlineStr">
        <is>
          <t>010515001001</t>
        </is>
      </c>
      <c r="B6" s="3" t="inlineStr">
        <is>
          <t>现浇构件钢筋</t>
        </is>
      </c>
      <c r="C6" s="3" t="inlineStr">
        <is>
          <t>HRB400，直径10mm以内</t>
        </is>
      </c>
      <c r="D6" s="3" t="inlineStr">
        <is>
          <t>t</t>
        </is>
      </c>
      <c r="E6" s="4" t="n">
        <v>8</v>
      </c>
      <c r="F6" s="4" t="n">
        <v>4850</v>
      </c>
      <c r="G6" s="4" t="n">
        <v>38800</v>
      </c>
      <c r="H6" s="4" t="inlineStr">
        <is>
          <t>13%</t>
        </is>
      </c>
    </row>
    <row r="7">
      <c r="A7" s="3" t="inlineStr">
        <is>
          <t>010515001001</t>
        </is>
      </c>
      <c r="B7" s="3" t="inlineStr">
        <is>
          <t>现浇构件钢筋</t>
        </is>
      </c>
      <c r="C7" s="3" t="inlineStr">
        <is>
          <t>HRB400，直径10mm以内</t>
        </is>
      </c>
      <c r="D7" s="3" t="inlineStr">
        <is>
          <t>t</t>
        </is>
      </c>
      <c r="E7" s="4" t="n">
        <v>8</v>
      </c>
      <c r="F7" s="4" t="n">
        <v>4850</v>
      </c>
      <c r="G7" s="4" t="n">
        <v>38800</v>
      </c>
      <c r="H7" s="4" t="inlineStr">
        <is>
          <t>13%</t>
        </is>
      </c>
    </row>
    <row r="8">
      <c r="A8" s="3" t="inlineStr">
        <is>
          <t>010501002001</t>
        </is>
      </c>
      <c r="B8" s="3" t="inlineStr">
        <is>
          <t>C30混凝土垫层</t>
        </is>
      </c>
      <c r="C8" s="3" t="inlineStr">
        <is>
          <t>商品混凝土C30，泵送</t>
        </is>
      </c>
      <c r="D8" s="3" t="inlineStr">
        <is>
          <t>m3</t>
        </is>
      </c>
      <c r="E8" s="4" t="n">
        <v>55</v>
      </c>
      <c r="F8" s="4" t="n">
        <v>480</v>
      </c>
      <c r="G8" s="4" t="n">
        <v>26400</v>
      </c>
      <c r="H8" s="4" t="inlineStr">
        <is>
          <t>9%</t>
        </is>
      </c>
    </row>
    <row r="9">
      <c r="A9" s="3" t="inlineStr">
        <is>
          <t>011001002001</t>
        </is>
      </c>
      <c r="B9" s="3" t="inlineStr">
        <is>
          <t>保温楼地面</t>
        </is>
      </c>
      <c r="C9" s="3" t="inlineStr">
        <is>
          <t>挤塑聚苯板50mm厚</t>
        </is>
      </c>
      <c r="D9" s="3" t="inlineStr">
        <is>
          <t>m2</t>
        </is>
      </c>
      <c r="E9" s="4" t="n">
        <v>210</v>
      </c>
      <c r="F9" s="4" t="n">
        <v>92</v>
      </c>
      <c r="G9" s="4" t="n">
        <v>19320</v>
      </c>
      <c r="H9" s="4" t="inlineStr">
        <is>
          <t>9%</t>
        </is>
      </c>
    </row>
    <row r="10">
      <c r="A10" s="3" t="n"/>
      <c r="B10" s="3" t="inlineStr">
        <is>
          <t>小计</t>
        </is>
      </c>
      <c r="C10" s="3" t="n"/>
      <c r="D10" s="3" t="n"/>
      <c r="E10" s="4" t="n"/>
      <c r="F10" s="4" t="n"/>
      <c r="G10" s="4" t="n">
        <v>175380</v>
      </c>
      <c r="H10" s="4" t="n"/>
    </row>
    <row r="11">
      <c r="A11" s="3" t="n"/>
      <c r="B11" s="3" t="inlineStr">
        <is>
          <t>合计</t>
        </is>
      </c>
      <c r="C11" s="3" t="n"/>
      <c r="D11" s="3" t="n"/>
      <c r="E11" s="4" t="n"/>
      <c r="F11" s="4" t="n"/>
      <c r="G11" s="4" t="n">
        <v>175380</v>
      </c>
      <c r="H11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26" customWidth="1" min="3" max="3"/>
    <col width="9" customWidth="1" min="4" max="4"/>
    <col width="12" customWidth="1" min="5" max="5"/>
    <col width="12" customWidth="1" min="6" max="6"/>
    <col width="14" customWidth="1" min="7" max="7"/>
    <col width="8" customWidth="1" min="8" max="8"/>
  </cols>
  <sheetData>
    <row r="1">
      <c r="A1" s="1" t="inlineStr">
        <is>
          <t>示例花园小区二期工程（合成演示数据）</t>
        </is>
      </c>
    </row>
    <row r="2">
      <c r="A2" s="2" t="inlineStr">
        <is>
          <t>清单编码</t>
        </is>
      </c>
      <c r="B2" s="2" t="inlineStr">
        <is>
          <t>清单名称</t>
        </is>
      </c>
      <c r="C2" s="2" t="inlineStr">
        <is>
          <t>项目特征</t>
        </is>
      </c>
      <c r="D2" s="2" t="inlineStr">
        <is>
          <t>计量单位</t>
        </is>
      </c>
      <c r="E2" s="2" t="inlineStr">
        <is>
          <t>工程量</t>
        </is>
      </c>
      <c r="F2" s="2" t="inlineStr">
        <is>
          <t>综合单价</t>
        </is>
      </c>
      <c r="G2" s="2" t="inlineStr">
        <is>
          <t>合价</t>
        </is>
      </c>
      <c r="H2" s="2" t="inlineStr">
        <is>
          <t>税率</t>
        </is>
      </c>
    </row>
    <row r="3">
      <c r="A3" s="3" t="inlineStr">
        <is>
          <t>010101001001</t>
        </is>
      </c>
      <c r="B3" s="3" t="inlineStr">
        <is>
          <t>平整场地</t>
        </is>
      </c>
      <c r="C3" s="3" t="inlineStr">
        <is>
          <t>三类土</t>
        </is>
      </c>
      <c r="D3" s="3" t="inlineStr">
        <is>
          <t>m2</t>
        </is>
      </c>
      <c r="E3" s="4" t="n">
        <v>5000</v>
      </c>
      <c r="F3" s="4" t="n">
        <v>8.5</v>
      </c>
      <c r="G3" s="4" t="n">
        <v>42500</v>
      </c>
      <c r="H3" s="4" t="inlineStr">
        <is>
          <t>9%</t>
        </is>
      </c>
    </row>
    <row r="4">
      <c r="A4" s="3" t="inlineStr">
        <is>
          <t>010401001001</t>
        </is>
      </c>
      <c r="B4" s="3" t="inlineStr">
        <is>
          <t>砖基础</t>
        </is>
      </c>
      <c r="C4" s="3" t="inlineStr">
        <is>
          <t>MU10机制砖</t>
        </is>
      </c>
      <c r="D4" s="3" t="inlineStr">
        <is>
          <t>m3</t>
        </is>
      </c>
      <c r="E4" s="4" t="n">
        <v>20</v>
      </c>
      <c r="F4" s="4" t="n">
        <v>425</v>
      </c>
      <c r="G4" s="4" t="n">
        <v>8500</v>
      </c>
      <c r="H4" s="4" t="inlineStr">
        <is>
          <t>13%</t>
        </is>
      </c>
    </row>
    <row r="5">
      <c r="A5" s="3" t="n"/>
      <c r="B5" s="3" t="n"/>
      <c r="C5" s="3" t="n"/>
      <c r="D5" s="3" t="n"/>
      <c r="E5" s="4" t="n"/>
      <c r="F5" s="4" t="n"/>
      <c r="G5" s="4" t="n"/>
      <c r="H5" s="4" t="n"/>
    </row>
    <row r="6">
      <c r="A6" s="3" t="inlineStr">
        <is>
          <t>010501001001</t>
        </is>
      </c>
      <c r="B6" s="3" t="inlineStr">
        <is>
          <t>C25混凝土垫层</t>
        </is>
      </c>
      <c r="C6" s="3" t="inlineStr">
        <is>
          <t>商品混凝土C25</t>
        </is>
      </c>
      <c r="D6" s="3" t="inlineStr">
        <is>
          <t>m2</t>
        </is>
      </c>
      <c r="E6" s="4" t="n">
        <v>80</v>
      </c>
      <c r="F6" s="4" t="n">
        <v>78</v>
      </c>
      <c r="G6" s="4" t="n">
        <v>6240</v>
      </c>
      <c r="H6" s="4" t="inlineStr">
        <is>
          <t>9%</t>
        </is>
      </c>
    </row>
    <row r="7">
      <c r="A7" s="3" t="inlineStr">
        <is>
          <t>012999001001</t>
        </is>
      </c>
      <c r="B7" s="3" t="inlineStr">
        <is>
          <t>其他零星工作</t>
        </is>
      </c>
      <c r="C7" s="3" t="inlineStr">
        <is>
          <t>综合</t>
        </is>
      </c>
      <c r="D7" s="3" t="inlineStr">
        <is>
          <t>项</t>
        </is>
      </c>
      <c r="E7" s="4" t="n">
        <v>1</v>
      </c>
      <c r="F7" s="4" t="n"/>
      <c r="G7" s="4" t="n"/>
      <c r="H7" s="4" t="n"/>
    </row>
    <row r="8">
      <c r="A8" s="3" t="n"/>
      <c r="B8" s="3" t="inlineStr">
        <is>
          <t>小计</t>
        </is>
      </c>
      <c r="C8" s="3" t="n"/>
      <c r="D8" s="3" t="n"/>
      <c r="E8" s="4" t="n"/>
      <c r="F8" s="4" t="n"/>
      <c r="G8" s="4" t="n">
        <v>57240</v>
      </c>
      <c r="H8" s="4" t="n"/>
    </row>
    <row r="9">
      <c r="A9" s="3" t="n"/>
      <c r="B9" s="3" t="inlineStr">
        <is>
          <t>合计</t>
        </is>
      </c>
      <c r="C9" s="3" t="n"/>
      <c r="D9" s="3" t="n"/>
      <c r="E9" s="4" t="n"/>
      <c r="F9" s="4" t="n"/>
      <c r="G9" s="4" t="n">
        <v>57240</v>
      </c>
      <c r="H9" s="4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CostGuard 合成演示数据生成器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  <cp:lastModifiedBy>CostGuard 合成演示数据生成器</cp:lastModifiedBy>
</cp:coreProperties>
</file>